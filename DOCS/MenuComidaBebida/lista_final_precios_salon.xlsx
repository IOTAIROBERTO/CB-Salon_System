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y utilidad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ómo usar" sheetId="3" state="visible" r:id="rId3"/>
  </sheets>
  <definedNames>
    <definedName name="_xlnm._FilterDatabase" localSheetId="0" hidden="1">'Precios y utilidad'!$A$4:$N$15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ecios" displayName="TablaPrecios" ref="A4:N15" headerRowCount="1">
  <autoFilter ref="A4:N15"/>
  <tableColumns count="14">
    <tableColumn id="1" name="Producto"/>
    <tableColumn id="2" name="Categoría"/>
    <tableColumn id="3" name="Piezas por paquete"/>
    <tableColumn id="4" name="Costo del paquete (MXN)"/>
    <tableColumn id="5" name="Costo por pieza (MXN)"/>
    <tableColumn id="6" name="Precio sugerido (MXN)"/>
    <tableColumn id="7" name="Utilidad por pieza (MXN)"/>
    <tableColumn id="8" name="Margen sobre venta (%)"/>
    <tableColumn id="9" name="Utilidad por paquete (MXN)"/>
    <tableColumn id="10" name="Estado del precio"/>
    <tableColumn id="11" name="Conservación"/>
    <tableColumn id="12" name="Notas"/>
    <tableColumn id="13" name="Gasolina y luz por pieza (MXN)"/>
    <tableColumn id="14" name="Desechables por pieza (MXN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20" customWidth="1" min="4" max="4"/>
    <col width="18" customWidth="1" min="5" max="5"/>
    <col width="19" customWidth="1" min="6" max="6"/>
    <col width="20" customWidth="1" min="7" max="7"/>
    <col width="18" customWidth="1" min="8" max="8"/>
    <col width="22" customWidth="1" min="9" max="9"/>
    <col width="39" customWidth="1" min="10" max="10"/>
    <col width="28" customWidth="1" min="11" max="11"/>
    <col width="52" customWidth="1" min="12" max="12"/>
    <col width="20" customWidth="1" min="13" max="14"/>
  </cols>
  <sheetData>
    <row r="1" ht="30" customHeight="1">
      <c r="A1" s="1" t="inlineStr">
        <is>
          <t>LISTA FINAL DE PRECIOS — COSTO, PRECIO DE VENTA Y UTILIDAD</t>
        </is>
      </c>
    </row>
    <row r="2" ht="32" customHeight="1">
      <c r="A2" s="2" t="inlineStr">
        <is>
          <t>Costos verificados el 13-oct-2026. Precios con 40–50 % de utilidad sobre venta. Edita las celdas amarillas si cambia el precio en tienda.</t>
        </is>
      </c>
    </row>
    <row r="4" ht="42" customHeight="1">
      <c r="A4" s="3" t="inlineStr">
        <is>
          <t>Producto</t>
        </is>
      </c>
      <c r="B4" s="3" t="inlineStr">
        <is>
          <t>Categoría</t>
        </is>
      </c>
      <c r="C4" s="3" t="inlineStr">
        <is>
          <t>Piezas por paquete</t>
        </is>
      </c>
      <c r="D4" s="3" t="inlineStr">
        <is>
          <t>Costo del paquete (MXN)</t>
        </is>
      </c>
      <c r="E4" s="3" t="inlineStr">
        <is>
          <t>Costo por pieza (MXN)</t>
        </is>
      </c>
      <c r="F4" s="3" t="inlineStr">
        <is>
          <t>Precio sugerido (MXN)</t>
        </is>
      </c>
      <c r="G4" s="3" t="inlineStr">
        <is>
          <t>Utilidad por pieza (MXN)</t>
        </is>
      </c>
      <c r="H4" s="3" t="inlineStr">
        <is>
          <t>Margen sobre venta (%)</t>
        </is>
      </c>
      <c r="I4" s="3" t="inlineStr">
        <is>
          <t>Utilidad por paquete (MXN)</t>
        </is>
      </c>
      <c r="J4" s="3" t="inlineStr">
        <is>
          <t>Estado del precio</t>
        </is>
      </c>
      <c r="K4" s="3" t="inlineStr">
        <is>
          <t>Conservación</t>
        </is>
      </c>
      <c r="L4" s="3" t="inlineStr">
        <is>
          <t>Notas</t>
        </is>
      </c>
      <c r="M4" s="3" t="inlineStr">
        <is>
          <t>Gasolina y luz por pieza (MXN)</t>
        </is>
      </c>
      <c r="N4" s="3" t="inlineStr">
        <is>
          <t>Desechables por pieza (MXN)</t>
        </is>
      </c>
    </row>
    <row r="5">
      <c r="A5" s="4" t="inlineStr">
        <is>
          <t>Dumplings Bibigo (orden de 6)</t>
        </is>
      </c>
      <c r="B5" s="4" t="inlineStr">
        <is>
          <t>Comidas</t>
        </is>
      </c>
      <c r="C5" s="5" t="n">
        <v>6</v>
      </c>
      <c r="D5" s="6" t="n">
        <v>299.0</v>
      </c>
      <c r="E5" s="7">
        <f>IFERROR(D5/C5,0)+M5+N5</f>
        <v>56.535168</v>
      </c>
      <c r="F5" s="6" t="n">
        <v>100</v>
      </c>
      <c r="G5" s="7">
        <f>F5-E5</f>
        <v>43.464832</v>
      </c>
      <c r="H5" s="8">
        <f>IFERROR(G5/F5,0)</f>
        <v>0.434648</v>
      </c>
      <c r="I5" s="7">
        <f>G5*C5</f>
        <v>260.788992</v>
      </c>
      <c r="J5" s="4" t="inlineStr">
        <is>
          <t>Referencia Costco 13-oct-2026</t>
        </is>
      </c>
      <c r="K5" s="4" t="inlineStr">
        <is>
          <t>Congelado</t>
        </is>
      </c>
      <c r="L5" s="4" t="inlineStr">
        <is>
          <t>Costco: 36 piezas (6 charolas de 6) a ~$299; precio de nota de 2025, verificar en tienda.</t>
        </is>
      </c>
      <c r="M5" s="7">
        <f>Resumen!$B$11</f>
        <v>2.701835</v>
      </c>
      <c r="N5" s="6" t="n">
        <v>4</v>
      </c>
    </row>
    <row r="6">
      <c r="A6" s="4" t="inlineStr">
        <is>
          <t>Waffles Eggo (orden de 2)</t>
        </is>
      </c>
      <c r="B6" s="4" t="inlineStr">
        <is>
          <t>Comidas</t>
        </is>
      </c>
      <c r="C6" s="5" t="n">
        <v>36</v>
      </c>
      <c r="D6" s="6" t="n">
        <v>450.09</v>
      </c>
      <c r="E6" s="7">
        <f>IFERROR(D6/C6,0)+M6+N6</f>
        <v>18.204335</v>
      </c>
      <c r="F6" s="6" t="n">
        <v>40</v>
      </c>
      <c r="G6" s="7">
        <f>F6-E6</f>
        <v>21.795665</v>
      </c>
      <c r="H6" s="8">
        <f>IFERROR(G6/F6,0)</f>
        <v>0.544892</v>
      </c>
      <c r="I6" s="7">
        <f>G6*C6</f>
        <v>784.643945</v>
      </c>
      <c r="J6" s="4" t="inlineStr">
        <is>
          <t>Verificado Costco 13-oct-2026</t>
        </is>
      </c>
      <c r="K6" s="4" t="inlineStr">
        <is>
          <t>Congelado</t>
        </is>
      </c>
      <c r="L6" s="4" t="inlineStr">
        <is>
          <t>Costco 72 waffles ($360.09) = 36 órdenes + ~$90 de miel (estimado $2.50 por orden). Se sirve preparado. Cafeterías CDMX: $99–$174 por waffle.</t>
        </is>
      </c>
      <c r="M6" s="7">
        <f>Resumen!$B$11</f>
        <v>2.701835</v>
      </c>
      <c r="N6" s="6" t="n">
        <v>3</v>
      </c>
    </row>
    <row r="7">
      <c r="A7" s="4" t="inlineStr">
        <is>
          <t>Maruchan individual</t>
        </is>
      </c>
      <c r="B7" s="4" t="inlineStr">
        <is>
          <t>Comidas</t>
        </is>
      </c>
      <c r="C7" s="5" t="n">
        <v>12</v>
      </c>
      <c r="D7" s="6" t="n">
        <v>173.91</v>
      </c>
      <c r="E7" s="7">
        <f>IFERROR(D7/C7,0)+M7+N7</f>
        <v>18.694335</v>
      </c>
      <c r="F7" s="6" t="n">
        <v>35</v>
      </c>
      <c r="G7" s="7">
        <f>F7-E7</f>
        <v>16.305665</v>
      </c>
      <c r="H7" s="8">
        <f>IFERROR(G7/F7,0)</f>
        <v>0.465876</v>
      </c>
      <c r="I7" s="7">
        <f>G7*C7</f>
        <v>195.667982</v>
      </c>
      <c r="J7" s="4" t="inlineStr">
        <is>
          <t>Verificado Sam's 13-oct-2026</t>
        </is>
      </c>
      <c r="K7" s="4" t="inlineStr">
        <is>
          <t>Despensa</t>
        </is>
      </c>
      <c r="L7" s="4" t="inlineStr">
        <is>
          <t>Sam's caja 12. Walmart: $14 por pieza. Se sirve preparado con agua caliente. Súper: $14–$19 el vaso.</t>
        </is>
      </c>
      <c r="M7" s="7">
        <f>Resumen!$B$11</f>
        <v>2.701835</v>
      </c>
      <c r="N7" s="6" t="n">
        <v>1.5</v>
      </c>
    </row>
    <row r="8">
      <c r="A8" s="4" t="inlineStr">
        <is>
          <t>Starbucks Frappuccino 280 ml</t>
        </is>
      </c>
      <c r="B8" s="4" t="inlineStr">
        <is>
          <t>Café frío</t>
        </is>
      </c>
      <c r="C8" s="5" t="n">
        <v>12</v>
      </c>
      <c r="D8" s="6" t="n">
        <v>399.0</v>
      </c>
      <c r="E8" s="7">
        <f>IFERROR(D8/C8,0)+M8+N8</f>
        <v>35.951835</v>
      </c>
      <c r="F8" s="6" t="n">
        <v>70</v>
      </c>
      <c r="G8" s="7">
        <f>F8-E8</f>
        <v>34.048165</v>
      </c>
      <c r="H8" s="8">
        <f>IFERROR(G8/F8,0)</f>
        <v>0.486402</v>
      </c>
      <c r="I8" s="7">
        <f>G8*C8</f>
        <v>408.577982</v>
      </c>
      <c r="J8" s="4" t="inlineStr">
        <is>
          <t>Verificado Costco 13-oct-2026</t>
        </is>
      </c>
      <c r="K8" s="4" t="inlineStr">
        <is>
          <t>Despensa según etiqueta</t>
        </is>
      </c>
      <c r="L8" s="4" t="inlineStr">
        <is>
          <t>Costco 12×280 ml vidrio. Mantener frío al servir. Igual a OXXO ($47, Rappi). Margen bajo 40 %: caja de 12 cuesta $399.</t>
        </is>
      </c>
      <c r="M8" s="7">
        <f>Resumen!$B$11</f>
        <v>2.701835</v>
      </c>
      <c r="N8" s="6" t="n">
        <v>0</v>
      </c>
    </row>
    <row r="9">
      <c r="A9" s="4" t="inlineStr">
        <is>
          <t>Coca-Cola 355 ml PET</t>
        </is>
      </c>
      <c r="B9" s="4" t="inlineStr">
        <is>
          <t>Bebidas</t>
        </is>
      </c>
      <c r="C9" s="5" t="n">
        <v>24</v>
      </c>
      <c r="D9" s="6" t="n">
        <v>282.35</v>
      </c>
      <c r="E9" s="7">
        <f>IFERROR(D9/C9,0)+M9+N9</f>
        <v>14.466418</v>
      </c>
      <c r="F9" s="6" t="n">
        <v>25</v>
      </c>
      <c r="G9" s="7">
        <f>F9-E9</f>
        <v>10.533582</v>
      </c>
      <c r="H9" s="8">
        <f>IFERROR(G9/F9,0)</f>
        <v>0.421343</v>
      </c>
      <c r="I9" s="7">
        <f>G9*C9</f>
        <v>252.805968</v>
      </c>
      <c r="J9" s="4" t="inlineStr">
        <is>
          <t>Verificado Sam's 13-oct-2026</t>
        </is>
      </c>
      <c r="K9" s="4" t="inlineStr">
        <is>
          <t>Despensa</t>
        </is>
      </c>
      <c r="L9" s="4" t="inlineStr">
        <is>
          <t>Sam's 24×355 ml PET a $282.35 (antes $331.45). Reemplaza la de 600 ml. OXXO: $22.80 (Rappi).</t>
        </is>
      </c>
      <c r="M9" s="7">
        <f>Resumen!$B$11</f>
        <v>2.701835</v>
      </c>
      <c r="N9" s="6" t="n">
        <v>0</v>
      </c>
    </row>
    <row r="10">
      <c r="A10" s="4" t="inlineStr">
        <is>
          <t>Té Lipton 600 ml</t>
        </is>
      </c>
      <c r="B10" s="4" t="inlineStr">
        <is>
          <t>Bebidas</t>
        </is>
      </c>
      <c r="C10" s="5" t="n">
        <v>12</v>
      </c>
      <c r="D10" s="6" t="n">
        <v>152.41</v>
      </c>
      <c r="E10" s="7">
        <f>IFERROR(D10/C10,0)+M10+N10</f>
        <v>15.402668</v>
      </c>
      <c r="F10" s="6" t="n">
        <v>30</v>
      </c>
      <c r="G10" s="7">
        <f>F10-E10</f>
        <v>14.597332</v>
      </c>
      <c r="H10" s="8">
        <f>IFERROR(G10/F10,0)</f>
        <v>0.486578</v>
      </c>
      <c r="I10" s="7">
        <f>G10*C10</f>
        <v>175.167982</v>
      </c>
      <c r="J10" s="4" t="inlineStr">
        <is>
          <t>Verificado Sam's 13-oct-2026</t>
        </is>
      </c>
      <c r="K10" s="4" t="inlineStr">
        <is>
          <t>Despensa</t>
        </is>
      </c>
      <c r="L10" s="4" t="inlineStr">
        <is>
          <t>Sam's 12×600 ml surtido (verde, limón, durazno). Fuze Tea ($211.76) deja muy poco margen. Igual a OXXO ($24, Rappi).</t>
        </is>
      </c>
      <c r="M10" s="7">
        <f>Resumen!$B$11</f>
        <v>2.701835</v>
      </c>
      <c r="N10" s="6" t="n">
        <v>0</v>
      </c>
    </row>
    <row r="11">
      <c r="A11" s="4" t="inlineStr">
        <is>
          <t>Papas Sabritas surtidas</t>
        </is>
      </c>
      <c r="B11" s="4" t="inlineStr">
        <is>
          <t>Snacks</t>
        </is>
      </c>
      <c r="C11" s="5" t="n">
        <v>30</v>
      </c>
      <c r="D11" s="6" t="n">
        <v>369.0</v>
      </c>
      <c r="E11" s="7">
        <f>IFERROR(D11/C11,0)+M11+N11</f>
        <v>15.001835</v>
      </c>
      <c r="F11" s="6" t="n">
        <v>30</v>
      </c>
      <c r="G11" s="7">
        <f>F11-E11</f>
        <v>14.998165</v>
      </c>
      <c r="H11" s="8">
        <f>IFERROR(G11/F11,0)</f>
        <v>0.499939</v>
      </c>
      <c r="I11" s="7">
        <f>G11*C11</f>
        <v>449.944954</v>
      </c>
      <c r="J11" s="4" t="inlineStr">
        <is>
          <t>Verificado Costco 13-oct-2026</t>
        </is>
      </c>
      <c r="K11" s="4" t="inlineStr">
        <is>
          <t>Despensa</t>
        </is>
      </c>
      <c r="L11" s="4" t="inlineStr">
        <is>
          <t>Comprar en Costco ($351–$369). Sam's $475.69: deja muy poca ganancia. Igual a OXXO Sabritas 45 g ($22).</t>
        </is>
      </c>
      <c r="M11" s="7">
        <f>Resumen!$B$11</f>
        <v>2.701835</v>
      </c>
      <c r="N11" s="6" t="n">
        <v>0</v>
      </c>
    </row>
    <row r="12">
      <c r="A12" s="4" t="inlineStr">
        <is>
          <t>Galletas Emperador surtidas</t>
        </is>
      </c>
      <c r="B12" s="4" t="inlineStr">
        <is>
          <t>Galletas</t>
        </is>
      </c>
      <c r="C12" s="5" t="n">
        <v>12</v>
      </c>
      <c r="D12" s="6" t="n">
        <v>146.29</v>
      </c>
      <c r="E12" s="7">
        <f>IFERROR(D12/C12,0)+M12+N12</f>
        <v>14.892668</v>
      </c>
      <c r="F12" s="6" t="n">
        <v>30</v>
      </c>
      <c r="G12" s="7">
        <f>F12-E12</f>
        <v>15.107332</v>
      </c>
      <c r="H12" s="8">
        <f>IFERROR(G12/F12,0)</f>
        <v>0.503578</v>
      </c>
      <c r="I12" s="7">
        <f>G12*C12</f>
        <v>181.287982</v>
      </c>
      <c r="J12" s="4" t="inlineStr">
        <is>
          <t>Verificado Sam's 13-oct-2026</t>
        </is>
      </c>
      <c r="K12" s="4" t="inlineStr">
        <is>
          <t>Despensa</t>
        </is>
      </c>
      <c r="L12" s="4" t="inlineStr">
        <is>
          <t>Sam's 12 paquetes: $130.94–$146.29 (se usa el más alto).</t>
        </is>
      </c>
      <c r="M12" s="7">
        <f>Resumen!$B$11</f>
        <v>2.701835</v>
      </c>
      <c r="N12" s="6" t="n">
        <v>0</v>
      </c>
    </row>
    <row r="13">
      <c r="A13" s="4" t="inlineStr">
        <is>
          <t>Barras Nature Valley</t>
        </is>
      </c>
      <c r="B13" s="4" t="inlineStr">
        <is>
          <t>Snacks</t>
        </is>
      </c>
      <c r="C13" s="5" t="n">
        <v>24</v>
      </c>
      <c r="D13" s="6" t="n">
        <v>221.43</v>
      </c>
      <c r="E13" s="7">
        <f>IFERROR(D13/C13,0)+M13+N13</f>
        <v>11.928085</v>
      </c>
      <c r="F13" s="6" t="n">
        <v>25</v>
      </c>
      <c r="G13" s="7">
        <f>F13-E13</f>
        <v>13.071915</v>
      </c>
      <c r="H13" s="8">
        <f>IFERROR(G13/F13,0)</f>
        <v>0.522877</v>
      </c>
      <c r="I13" s="7">
        <f>G13*C13</f>
        <v>313.725963</v>
      </c>
      <c r="J13" s="4" t="inlineStr">
        <is>
          <t>Verificado Amazon 13-oct-2026</t>
        </is>
      </c>
      <c r="K13" s="4" t="inlineStr">
        <is>
          <t>Despensa</t>
        </is>
      </c>
      <c r="L13" s="4" t="inlineStr">
        <is>
          <t>Amazon 24 piezas: $213.80–$310. No comprar arriba de $260.</t>
        </is>
      </c>
      <c r="M13" s="7">
        <f>Resumen!$B$11</f>
        <v>2.701835</v>
      </c>
      <c r="N13" s="6" t="n">
        <v>0</v>
      </c>
    </row>
    <row r="14">
      <c r="A14" s="4" t="inlineStr">
        <is>
          <t>Cacahuates individuales</t>
        </is>
      </c>
      <c r="B14" s="4" t="inlineStr">
        <is>
          <t>Snacks</t>
        </is>
      </c>
      <c r="C14" s="5" t="n">
        <v>20</v>
      </c>
      <c r="D14" s="6" t="n">
        <v>180.0</v>
      </c>
      <c r="E14" s="7">
        <f>IFERROR(D14/C14,0)+M14+N14</f>
        <v>11.701835</v>
      </c>
      <c r="F14" s="6" t="n">
        <v>25</v>
      </c>
      <c r="G14" s="7">
        <f>F14-E14</f>
        <v>13.298165</v>
      </c>
      <c r="H14" s="8">
        <f>IFERROR(G14/F14,0)</f>
        <v>0.531927</v>
      </c>
      <c r="I14" s="7">
        <f>G14*C14</f>
        <v>265.963303</v>
      </c>
      <c r="J14" s="4" t="inlineStr">
        <is>
          <t>SIN VERIFICAR — estimación</t>
        </is>
      </c>
      <c r="K14" s="4" t="inlineStr">
        <is>
          <t>Despensa</t>
        </is>
      </c>
      <c r="L14" s="4" t="inlineStr">
        <is>
          <t>No se encontró presentación de 20 piezas. Confirmar en tienda.</t>
        </is>
      </c>
      <c r="M14" s="7">
        <f>Resumen!$B$11</f>
        <v>2.701835</v>
      </c>
      <c r="N14" s="6" t="n">
        <v>0</v>
      </c>
    </row>
    <row r="15">
      <c r="A15" s="4" t="inlineStr">
        <is>
          <t>Galletas Oreo 42 g</t>
        </is>
      </c>
      <c r="B15" s="4" t="inlineStr">
        <is>
          <t>Galletas</t>
        </is>
      </c>
      <c r="C15" s="5" t="n">
        <v>30</v>
      </c>
      <c r="D15" s="6" t="n">
        <v>183.15</v>
      </c>
      <c r="E15" s="7">
        <f>IFERROR(D15/C15,0)+M15+N15</f>
        <v>8.806835</v>
      </c>
      <c r="F15" s="6" t="n">
        <v>20</v>
      </c>
      <c r="G15" s="7">
        <f>F15-E15</f>
        <v>11.193165</v>
      </c>
      <c r="H15" s="8">
        <f>IFERROR(G15/F15,0)</f>
        <v>0.559658</v>
      </c>
      <c r="I15" s="7">
        <f>G15*C15</f>
        <v>335.794954</v>
      </c>
      <c r="J15" s="4" t="inlineStr">
        <is>
          <t>Verificado Sam's 13-oct-2026</t>
        </is>
      </c>
      <c r="K15" s="4" t="inlineStr">
        <is>
          <t>Despensa</t>
        </is>
      </c>
      <c r="L15" s="4" t="inlineStr">
        <is>
          <t>Sam's 30×42 g. Ese precio era oferta de agosto; revisar en tienda.</t>
        </is>
      </c>
      <c r="M15" s="7">
        <f>Resumen!$B$11</f>
        <v>2.701835</v>
      </c>
      <c r="N15" s="6" t="n">
        <v>0</v>
      </c>
    </row>
  </sheetData>
  <autoFilter ref="A4:N15"/>
  <mergeCells count="2">
    <mergeCell ref="A2:L2"/>
    <mergeCell ref="A1:L1"/>
  </mergeCells>
  <conditionalFormatting sqref="G5:G1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9" t="inlineStr">
        <is>
          <t>RESUMEN DE COMPRA Y UTILIDAD</t>
        </is>
      </c>
    </row>
    <row r="2">
      <c r="A2" s="10" t="inlineStr">
        <is>
          <t>Costo total de compra</t>
        </is>
      </c>
      <c r="B2" s="11">
        <f>SUM('Precios y utilidad'!D5:D15)</f>
        <v>2856.63</v>
      </c>
    </row>
    <row r="3">
      <c r="A3" s="10" t="inlineStr">
        <is>
          <t>Ingreso si se vende todo</t>
        </is>
      </c>
      <c r="B3" s="11">
        <f>SUMPRODUCT('Precios y utilidad'!C5:C15,'Precios y utilidad'!F5:F15)</f>
        <v>7220.0</v>
      </c>
    </row>
    <row r="4">
      <c r="A4" s="10" t="inlineStr">
        <is>
          <t>Utilidad después de gastos</t>
        </is>
      </c>
      <c r="B4" s="11">
        <f>B3-B2-B8-B9-B12</f>
        <v>3624.37</v>
      </c>
    </row>
    <row r="5">
      <c r="A5" s="10" t="inlineStr">
        <is>
          <t>Margen sobre ventas</t>
        </is>
      </c>
      <c r="B5" s="12">
        <f>IFERROR(B4/B3,0)</f>
        <v>0.50199</v>
      </c>
    </row>
    <row r="6" ht="42" customHeight="1">
      <c r="A6" s="13" t="inlineStr">
        <is>
          <t>Nota</t>
        </is>
      </c>
      <c r="B6" s="14" t="inlineStr">
        <is>
          <t>Utilidad después de gasolina, luz y desechables. No incluye mermas ni productos caducados.</t>
        </is>
      </c>
    </row>
    <row r="7">
      <c r="A7" s="9" t="inlineStr">
        <is>
          <t>GASTOS DEL MES (EDITABLES)</t>
        </is>
      </c>
    </row>
    <row r="8">
      <c r="A8" s="10" t="inlineStr">
        <is>
          <t>Gasolina al mes (2 viajes de 30 km a Costco/Sam’s)</t>
        </is>
      </c>
      <c r="B8" s="6" t="n">
        <v>144</v>
      </c>
    </row>
    <row r="9">
      <c r="A9" s="10" t="inlineStr">
        <is>
          <t>Luz comercial al mes (refrigerador + congelador)</t>
        </is>
      </c>
      <c r="B9" s="6" t="n">
        <v>445</v>
      </c>
    </row>
    <row r="10">
      <c r="A10" s="10" t="inlineStr">
        <is>
          <t>Piezas vendidas al mes</t>
        </is>
      </c>
      <c r="B10" s="5" t="n">
        <v>218</v>
      </c>
    </row>
    <row r="11">
      <c r="A11" s="10" t="inlineStr">
        <is>
          <t>Gasolina y luz por pieza</t>
        </is>
      </c>
      <c r="B11" s="11">
        <f>IFERROR((B8+B9)/B10,0)</f>
        <v>2.701835</v>
      </c>
    </row>
    <row r="12">
      <c r="A12" s="10" t="inlineStr">
        <is>
          <t>Desechables del mes</t>
        </is>
      </c>
      <c r="B12" s="11">
        <f>SUMPRODUCT('Precios y utilidad'!C5:C15,'Precios y utilidad'!N5:N15)</f>
        <v>150.0</v>
      </c>
    </row>
    <row r="13" ht="58" customHeight="1">
      <c r="A13" s="13" t="inlineStr">
        <is>
          <t>Supuestos</t>
        </is>
      </c>
      <c r="B13" s="14" t="inlineStr">
        <is>
          <t>Gasolina: 30 km ida y vuelta, 10 km/L, Magna ~$24/L, 2 viajes al mes. Luz: ~81 kWh/mes a ~$5.50/kWh (tarifa comercial). Si vendes más piezas al mes, baja el gasto por pieza.</t>
        </is>
      </c>
    </row>
  </sheetData>
  <mergeCells count="2">
    <mergeCell ref="A1:D1"/>
    <mergeCell ref="A7:D7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9" t="inlineStr">
        <is>
          <t>CÓMO USAR EL ARCHIVO</t>
        </is>
      </c>
    </row>
    <row r="3" ht="42" customHeight="1">
      <c r="A3" s="10" t="inlineStr">
        <is>
          <t>1. Costos</t>
        </is>
      </c>
      <c r="B3" s="4" t="inlineStr">
        <is>
          <t>Costos verificados el 13-oct-2026 en Sam's, Costco y Amazon. Donde había rango se usó el precio más alto. Los cacahuates siguen sin verificar.</t>
        </is>
      </c>
    </row>
    <row r="4" ht="42" customHeight="1">
      <c r="A4" s="10" t="inlineStr">
        <is>
          <t>2. Celdas amarillas</t>
        </is>
      </c>
      <c r="B4" s="4" t="inlineStr">
        <is>
          <t>Edita piezas por paquete, costo del paquete y precio sugerido. Son datos de entrada.</t>
        </is>
      </c>
    </row>
    <row r="5" ht="42" customHeight="1">
      <c r="A5" s="10" t="inlineStr">
        <is>
          <t>3. Celdas verdes</t>
        </is>
      </c>
      <c r="B5" s="4" t="inlineStr">
        <is>
          <t>Costo por pieza, utilidad por pieza, margen y utilidad por paquete se calculan con fórmulas.</t>
        </is>
      </c>
    </row>
    <row r="6" ht="42" customHeight="1">
      <c r="A6" s="10" t="inlineStr">
        <is>
          <t>4. Precio justo</t>
        </is>
      </c>
      <c r="B6" s="4" t="inlineStr">
        <is>
          <t>Costo por pieza = costo de compra + gasolina y luz (hoja Resumen) + desechables. Precio ≈ 50 % de utilidad sobre ese costo total, redondeado a múltiplos de $5.</t>
        </is>
      </c>
    </row>
    <row r="7" ht="42" customHeight="1">
      <c r="A7" s="10" t="inlineStr">
        <is>
          <t>5. Utilidad</t>
        </is>
      </c>
      <c r="B7" s="4" t="inlineStr">
        <is>
          <t>La utilidad calculada es bruta. Resta transporte, energía, comisiones, mermas y productos caducados para estimar la ganancia neta.</t>
        </is>
      </c>
    </row>
    <row r="8" ht="42" customHeight="1">
      <c r="A8" s="10" t="inlineStr">
        <is>
          <t>6. Seguridad alimentaria</t>
        </is>
      </c>
      <c r="B8" s="4" t="inlineStr">
        <is>
          <t>Los productos congelados o refrigerados requieren mantener la cadena de frío. Respeta siempre la etiqueta y la fecha de caducidad.</t>
        </is>
      </c>
    </row>
    <row r="9" ht="42" customHeight="1">
      <c r="A9" s="10" t="inlineStr">
        <is>
          <t>7. Recomendación</t>
        </is>
      </c>
      <c r="B9" s="4" t="inlineStr">
        <is>
          <t>Antes de comprar en volumen, verifica que el precio y el número de piezas correspondan exactamente a la presentación local.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2026-10-13T14:42:50Z</dcterms:created>
  <dcterms:modified xmlns:dcterms="http://purl.org/dc/terms/" xmlns:xsi="http://www.w3.org/2001/XMLSchema-instance" xsi:type="dcterms:W3CDTF">2026-10-13T14:42:50Z</dcterms:modified>
</cp:coreProperties>
</file>