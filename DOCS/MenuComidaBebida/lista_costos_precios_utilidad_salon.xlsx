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y utilidad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ómo usar" sheetId="3" state="visible" r:id="rId3"/>
  </sheets>
  <definedNames>
    <definedName name="_xlnm._FilterDatabase" localSheetId="0" hidden="1">'Precios y utilidad'!$A$4:$L$16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ecios" displayName="TablaPrecios" ref="A4:L16" headerRowCount="1">
  <autoFilter ref="A4:L16"/>
  <tableColumns count="12">
    <tableColumn id="1" name="Producto"/>
    <tableColumn id="2" name="Categoría"/>
    <tableColumn id="3" name="Piezas por paquete"/>
    <tableColumn id="4" name="Costo del paquete (MXN)"/>
    <tableColumn id="5" name="Costo por pieza (MXN)"/>
    <tableColumn id="6" name="Precio sugerido (MXN)"/>
    <tableColumn id="7" name="Utilidad por pieza (MXN)"/>
    <tableColumn id="8" name="Margen sobre venta (%)"/>
    <tableColumn id="9" name="Utilidad por paquete (MXN)"/>
    <tableColumn id="10" name="Estado del precio"/>
    <tableColumn id="11" name="Conservación"/>
    <tableColumn id="12" name="Nota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20" customWidth="1" min="4" max="4"/>
    <col width="18" customWidth="1" min="5" max="5"/>
    <col width="19" customWidth="1" min="6" max="6"/>
    <col width="20" customWidth="1" min="7" max="7"/>
    <col width="18" customWidth="1" min="8" max="8"/>
    <col width="22" customWidth="1" min="9" max="9"/>
    <col width="39" customWidth="1" min="10" max="10"/>
    <col width="28" customWidth="1" min="11" max="11"/>
    <col width="52" customWidth="1" min="12" max="12"/>
  </cols>
  <sheetData>
    <row r="1" ht="30" customHeight="1">
      <c r="A1" s="1" t="inlineStr">
        <is>
          <t>LISTA DE PRECIOS JUSTOS — COSTO, PRECIO SUGERIDO Y UTILIDAD</t>
        </is>
      </c>
    </row>
    <row r="2" ht="32" customHeight="1">
      <c r="A2" s="2" t="inlineStr">
        <is>
          <t>Edita el costo del paquete, piezas por paquete y precio sugerido en las celdas amarillas. Los cálculos se actualizan automáticamente.</t>
        </is>
      </c>
    </row>
    <row r="4" ht="42" customHeight="1">
      <c r="A4" s="3" t="inlineStr">
        <is>
          <t>Producto</t>
        </is>
      </c>
      <c r="B4" s="3" t="inlineStr">
        <is>
          <t>Categoría</t>
        </is>
      </c>
      <c r="C4" s="3" t="inlineStr">
        <is>
          <t>Piezas por paquete</t>
        </is>
      </c>
      <c r="D4" s="3" t="inlineStr">
        <is>
          <t>Costo del paquete (MXN)</t>
        </is>
      </c>
      <c r="E4" s="3" t="inlineStr">
        <is>
          <t>Costo por pieza (MXN)</t>
        </is>
      </c>
      <c r="F4" s="3" t="inlineStr">
        <is>
          <t>Precio sugerido (MXN)</t>
        </is>
      </c>
      <c r="G4" s="3" t="inlineStr">
        <is>
          <t>Utilidad por pieza (MXN)</t>
        </is>
      </c>
      <c r="H4" s="3" t="inlineStr">
        <is>
          <t>Margen sobre venta (%)</t>
        </is>
      </c>
      <c r="I4" s="3" t="inlineStr">
        <is>
          <t>Utilidad por paquete (MXN)</t>
        </is>
      </c>
      <c r="J4" s="3" t="inlineStr">
        <is>
          <t>Estado del precio</t>
        </is>
      </c>
      <c r="K4" s="3" t="inlineStr">
        <is>
          <t>Conservación</t>
        </is>
      </c>
      <c r="L4" s="3" t="inlineStr">
        <is>
          <t>Notas</t>
        </is>
      </c>
    </row>
    <row r="5">
      <c r="A5" s="4" t="inlineStr">
        <is>
          <t>Galletas Oreo individuales</t>
        </is>
      </c>
      <c r="B5" s="4" t="inlineStr">
        <is>
          <t>Galletas</t>
        </is>
      </c>
      <c r="C5" s="5" t="n">
        <v>30</v>
      </c>
      <c r="D5" s="6" t="n">
        <v>183.15</v>
      </c>
      <c r="E5" s="7">
        <f>IFERROR(D5/C5,0)</f>
        <v/>
      </c>
      <c r="F5" s="6" t="n">
        <v>10</v>
      </c>
      <c r="G5" s="7">
        <f>F5-E5</f>
        <v/>
      </c>
      <c r="H5" s="8">
        <f>IFERROR(G5/F5,0)</f>
        <v/>
      </c>
      <c r="I5" s="7">
        <f>G5*C5</f>
        <v/>
      </c>
      <c r="J5" s="4" t="inlineStr">
        <is>
          <t>Precio publicado de referencia</t>
        </is>
      </c>
      <c r="K5" s="4" t="inlineStr">
        <is>
          <t>Despensa</t>
        </is>
      </c>
      <c r="L5" s="4" t="inlineStr">
        <is>
          <t>Precio sugerido orientativo; ajustar según precio real y tamaño.</t>
        </is>
      </c>
    </row>
    <row r="6">
      <c r="A6" s="4" t="inlineStr">
        <is>
          <t>Galletas Emperador surtidas</t>
        </is>
      </c>
      <c r="B6" s="4" t="inlineStr">
        <is>
          <t>Galletas</t>
        </is>
      </c>
      <c r="C6" s="5" t="n">
        <v>12</v>
      </c>
      <c r="D6" s="6" t="n">
        <v>130.94</v>
      </c>
      <c r="E6" s="7">
        <f>IFERROR(D6/C6,0)</f>
        <v/>
      </c>
      <c r="F6" s="6" t="n">
        <v>14</v>
      </c>
      <c r="G6" s="7">
        <f>F6-E6</f>
        <v/>
      </c>
      <c r="H6" s="8">
        <f>IFERROR(G6/F6,0)</f>
        <v/>
      </c>
      <c r="I6" s="7">
        <f>G6*C6</f>
        <v/>
      </c>
      <c r="J6" s="4" t="inlineStr">
        <is>
          <t>Precio publicado de referencia</t>
        </is>
      </c>
      <c r="K6" s="4" t="inlineStr">
        <is>
          <t>Despensa</t>
        </is>
      </c>
      <c r="L6" s="4" t="inlineStr">
        <is>
          <t>Precio sugerido orientativo; ajustar según precio real y tamaño.</t>
        </is>
      </c>
    </row>
    <row r="7">
      <c r="A7" s="4" t="inlineStr">
        <is>
          <t>Galletas Canelitas</t>
        </is>
      </c>
      <c r="B7" s="4" t="inlineStr">
        <is>
          <t>Galletas</t>
        </is>
      </c>
      <c r="C7" s="5" t="n">
        <v>19</v>
      </c>
      <c r="D7" s="6" t="n">
        <v>143.63</v>
      </c>
      <c r="E7" s="7">
        <f>IFERROR(D7/C7,0)</f>
        <v/>
      </c>
      <c r="F7" s="6" t="n">
        <v>10</v>
      </c>
      <c r="G7" s="7">
        <f>F7-E7</f>
        <v/>
      </c>
      <c r="H7" s="8">
        <f>IFERROR(G7/F7,0)</f>
        <v/>
      </c>
      <c r="I7" s="7">
        <f>G7*C7</f>
        <v/>
      </c>
      <c r="J7" s="4" t="inlineStr">
        <is>
          <t>Precio publicado de referencia</t>
        </is>
      </c>
      <c r="K7" s="4" t="inlineStr">
        <is>
          <t>Despensa</t>
        </is>
      </c>
      <c r="L7" s="4" t="inlineStr">
        <is>
          <t>Precio sugerido orientativo; ajustar según precio real y tamaño.</t>
        </is>
      </c>
    </row>
    <row r="8">
      <c r="A8" s="4" t="inlineStr">
        <is>
          <t>Galletas Peke Pakes surtidas</t>
        </is>
      </c>
      <c r="B8" s="4" t="inlineStr">
        <is>
          <t>Galletas</t>
        </is>
      </c>
      <c r="C8" s="5" t="n">
        <v>40</v>
      </c>
      <c r="D8" s="6" t="n">
        <v>135.04</v>
      </c>
      <c r="E8" s="7">
        <f>IFERROR(D8/C8,0)</f>
        <v/>
      </c>
      <c r="F8" s="6" t="n">
        <v>5</v>
      </c>
      <c r="G8" s="7">
        <f>F8-E8</f>
        <v/>
      </c>
      <c r="H8" s="8">
        <f>IFERROR(G8/F8,0)</f>
        <v/>
      </c>
      <c r="I8" s="7">
        <f>G8*C8</f>
        <v/>
      </c>
      <c r="J8" s="4" t="inlineStr">
        <is>
          <t>Precio publicado de referencia</t>
        </is>
      </c>
      <c r="K8" s="4" t="inlineStr">
        <is>
          <t>Despensa</t>
        </is>
      </c>
      <c r="L8" s="4" t="inlineStr">
        <is>
          <t>Precio sugerido orientativo; ajustar según precio real y tamaño.</t>
        </is>
      </c>
    </row>
    <row r="9">
      <c r="A9" s="4" t="inlineStr">
        <is>
          <t>Agua embotellada 355 ml</t>
        </is>
      </c>
      <c r="B9" s="4" t="inlineStr">
        <is>
          <t>Bebidas</t>
        </is>
      </c>
      <c r="C9" s="5" t="n">
        <v>40</v>
      </c>
      <c r="D9" s="6" t="n">
        <v>120.71</v>
      </c>
      <c r="E9" s="7">
        <f>IFERROR(D9/C9,0)</f>
        <v/>
      </c>
      <c r="F9" s="6" t="n">
        <v>5</v>
      </c>
      <c r="G9" s="7">
        <f>F9-E9</f>
        <v/>
      </c>
      <c r="H9" s="8">
        <f>IFERROR(G9/F9,0)</f>
        <v/>
      </c>
      <c r="I9" s="7">
        <f>G9*C9</f>
        <v/>
      </c>
      <c r="J9" s="4" t="inlineStr">
        <is>
          <t>Precio publicado de referencia; confirmar tamaño y paquete</t>
        </is>
      </c>
      <c r="K9" s="4" t="inlineStr">
        <is>
          <t>Despensa</t>
        </is>
      </c>
      <c r="L9" s="4" t="inlineStr">
        <is>
          <t>Precio sugerido orientativo; ajustar según precio real y tamaño.</t>
        </is>
      </c>
    </row>
    <row r="10">
      <c r="A10" s="4" t="inlineStr">
        <is>
          <t>Jugo en cajita</t>
        </is>
      </c>
      <c r="B10" s="4" t="inlineStr">
        <is>
          <t>Bebidas</t>
        </is>
      </c>
      <c r="C10" s="5" t="n">
        <v>40</v>
      </c>
      <c r="D10" s="6" t="n">
        <v>364.18</v>
      </c>
      <c r="E10" s="7">
        <f>IFERROR(D10/C10,0)</f>
        <v/>
      </c>
      <c r="F10" s="6" t="n">
        <v>12</v>
      </c>
      <c r="G10" s="7">
        <f>F10-E10</f>
        <v/>
      </c>
      <c r="H10" s="8">
        <f>IFERROR(G10/F10,0)</f>
        <v/>
      </c>
      <c r="I10" s="7">
        <f>G10*C10</f>
        <v/>
      </c>
      <c r="J10" s="4" t="inlineStr">
        <is>
          <t>Estimación presupuestaria; verificar presentación y precio</t>
        </is>
      </c>
      <c r="K10" s="4" t="inlineStr">
        <is>
          <t>Despensa</t>
        </is>
      </c>
      <c r="L10" s="4" t="inlineStr">
        <is>
          <t>Precio sugerido orientativo; ajustar según precio real y tamaño.</t>
        </is>
      </c>
    </row>
    <row r="11">
      <c r="A11" s="4" t="inlineStr">
        <is>
          <t>Coca-Cola botella pequeña</t>
        </is>
      </c>
      <c r="B11" s="4" t="inlineStr">
        <is>
          <t>Bebidas</t>
        </is>
      </c>
      <c r="C11" s="5" t="n">
        <v>12</v>
      </c>
      <c r="D11" s="6" t="n">
        <v>225.06</v>
      </c>
      <c r="E11" s="7">
        <f>IFERROR(D11/C11,0)</f>
        <v/>
      </c>
      <c r="F11" s="6" t="n">
        <v>25</v>
      </c>
      <c r="G11" s="7">
        <f>F11-E11</f>
        <v/>
      </c>
      <c r="H11" s="8">
        <f>IFERROR(G11/F11,0)</f>
        <v/>
      </c>
      <c r="I11" s="7">
        <f>G11*C11</f>
        <v/>
      </c>
      <c r="J11" s="4" t="inlineStr">
        <is>
          <t>Estimación presupuestaria; verificar presentación y precio</t>
        </is>
      </c>
      <c r="K11" s="4" t="inlineStr">
        <is>
          <t>Despensa</t>
        </is>
      </c>
      <c r="L11" s="4" t="inlineStr">
        <is>
          <t>Precio sugerido orientativo; ajustar según precio real y tamaño.</t>
        </is>
      </c>
    </row>
    <row r="12">
      <c r="A12" s="4" t="inlineStr">
        <is>
          <t>Starbucks Frappuccino</t>
        </is>
      </c>
      <c r="B12" s="4" t="inlineStr">
        <is>
          <t>Café frío</t>
        </is>
      </c>
      <c r="C12" s="5" t="n">
        <v>12</v>
      </c>
      <c r="D12" s="6" t="n">
        <v>392.83</v>
      </c>
      <c r="E12" s="7">
        <f>IFERROR(D12/C12,0)</f>
        <v/>
      </c>
      <c r="F12" s="6" t="n">
        <v>40</v>
      </c>
      <c r="G12" s="7">
        <f>F12-E12</f>
        <v/>
      </c>
      <c r="H12" s="8">
        <f>IFERROR(G12/F12,0)</f>
        <v/>
      </c>
      <c r="I12" s="7">
        <f>G12*C12</f>
        <v/>
      </c>
      <c r="J12" s="4" t="inlineStr">
        <is>
          <t>Estimación presupuestaria; verificar presentación y precio</t>
        </is>
      </c>
      <c r="K12" s="4" t="inlineStr">
        <is>
          <t>Despensa según etiqueta</t>
        </is>
      </c>
      <c r="L12" s="4" t="inlineStr">
        <is>
          <t>Precio sugerido orientativo; ajustar según precio real y tamaño.</t>
        </is>
      </c>
    </row>
    <row r="13">
      <c r="A13" s="4" t="inlineStr">
        <is>
          <t>Maruchan individual</t>
        </is>
      </c>
      <c r="B13" s="4" t="inlineStr">
        <is>
          <t>Comidas</t>
        </is>
      </c>
      <c r="C13" s="5" t="n">
        <v>12</v>
      </c>
      <c r="D13" s="6" t="n">
        <v>180</v>
      </c>
      <c r="E13" s="7">
        <f>IFERROR(D13/C13,0)</f>
        <v/>
      </c>
      <c r="F13" s="6" t="n">
        <v>20</v>
      </c>
      <c r="G13" s="7">
        <f>F13-E13</f>
        <v/>
      </c>
      <c r="H13" s="8">
        <f>IFERROR(G13/F13,0)</f>
        <v/>
      </c>
      <c r="I13" s="7">
        <f>G13*C13</f>
        <v/>
      </c>
      <c r="J13" s="4" t="inlineStr">
        <is>
          <t>Estimación presupuestaria</t>
        </is>
      </c>
      <c r="K13" s="4" t="inlineStr">
        <is>
          <t>Despensa</t>
        </is>
      </c>
      <c r="L13" s="4" t="inlineStr">
        <is>
          <t>Precio sugerido orientativo; ajustar según precio real y tamaño.</t>
        </is>
      </c>
    </row>
    <row r="14">
      <c r="A14" s="4" t="inlineStr">
        <is>
          <t>Papas fritas individuales</t>
        </is>
      </c>
      <c r="B14" s="4" t="inlineStr">
        <is>
          <t>Snacks</t>
        </is>
      </c>
      <c r="C14" s="5" t="n">
        <v>20</v>
      </c>
      <c r="D14" s="6" t="n">
        <v>250</v>
      </c>
      <c r="E14" s="7">
        <f>IFERROR(D14/C14,0)</f>
        <v/>
      </c>
      <c r="F14" s="6" t="n">
        <v>15</v>
      </c>
      <c r="G14" s="7">
        <f>F14-E14</f>
        <v/>
      </c>
      <c r="H14" s="8">
        <f>IFERROR(G14/F14,0)</f>
        <v/>
      </c>
      <c r="I14" s="7">
        <f>G14*C14</f>
        <v/>
      </c>
      <c r="J14" s="4" t="inlineStr">
        <is>
          <t>Estimación presupuestaria</t>
        </is>
      </c>
      <c r="K14" s="4" t="inlineStr">
        <is>
          <t>Despensa</t>
        </is>
      </c>
      <c r="L14" s="4" t="inlineStr">
        <is>
          <t>Precio sugerido orientativo; ajustar según precio real y tamaño.</t>
        </is>
      </c>
    </row>
    <row r="15">
      <c r="A15" s="4" t="inlineStr">
        <is>
          <t>Cacahuates individuales</t>
        </is>
      </c>
      <c r="B15" s="4" t="inlineStr">
        <is>
          <t>Snacks</t>
        </is>
      </c>
      <c r="C15" s="5" t="n">
        <v>20</v>
      </c>
      <c r="D15" s="6" t="n">
        <v>180</v>
      </c>
      <c r="E15" s="7">
        <f>IFERROR(D15/C15,0)</f>
        <v/>
      </c>
      <c r="F15" s="6" t="n">
        <v>12</v>
      </c>
      <c r="G15" s="7">
        <f>F15-E15</f>
        <v/>
      </c>
      <c r="H15" s="8">
        <f>IFERROR(G15/F15,0)</f>
        <v/>
      </c>
      <c r="I15" s="7">
        <f>G15*C15</f>
        <v/>
      </c>
      <c r="J15" s="4" t="inlineStr">
        <is>
          <t>Estimación presupuestaria</t>
        </is>
      </c>
      <c r="K15" s="4" t="inlineStr">
        <is>
          <t>Despensa</t>
        </is>
      </c>
      <c r="L15" s="4" t="inlineStr">
        <is>
          <t>Precio sugerido orientativo; ajustar según precio real y tamaño.</t>
        </is>
      </c>
    </row>
    <row r="16">
      <c r="A16" s="4" t="inlineStr">
        <is>
          <t>Barras de cereal</t>
        </is>
      </c>
      <c r="B16" s="4" t="inlineStr">
        <is>
          <t>Snacks</t>
        </is>
      </c>
      <c r="C16" s="5" t="n">
        <v>24</v>
      </c>
      <c r="D16" s="6" t="n">
        <v>150</v>
      </c>
      <c r="E16" s="7">
        <f>IFERROR(D16/C16,0)</f>
        <v/>
      </c>
      <c r="F16" s="6" t="n">
        <v>10</v>
      </c>
      <c r="G16" s="7">
        <f>F16-E16</f>
        <v/>
      </c>
      <c r="H16" s="8">
        <f>IFERROR(G16/F16,0)</f>
        <v/>
      </c>
      <c r="I16" s="7">
        <f>G16*C16</f>
        <v/>
      </c>
      <c r="J16" s="4" t="inlineStr">
        <is>
          <t>Estimación presupuestaria; caja supuesta de 24</t>
        </is>
      </c>
      <c r="K16" s="4" t="inlineStr">
        <is>
          <t>Despensa</t>
        </is>
      </c>
      <c r="L16" s="4" t="inlineStr">
        <is>
          <t>Precio sugerido orientativo; ajustar según precio real y tamaño.</t>
        </is>
      </c>
    </row>
  </sheetData>
  <autoFilter ref="A4:L16"/>
  <mergeCells count="2">
    <mergeCell ref="A2:L2"/>
    <mergeCell ref="A1:L1"/>
  </mergeCells>
  <conditionalFormatting sqref="G5:G1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9" t="inlineStr">
        <is>
          <t>RESUMEN DE COMPRA Y UTILIDAD</t>
        </is>
      </c>
    </row>
    <row r="2">
      <c r="A2" s="10" t="inlineStr">
        <is>
          <t>Costo total de compra</t>
        </is>
      </c>
      <c r="B2" s="11">
        <f>SUM('Precios y utilidad'!D5:D16)</f>
        <v/>
      </c>
    </row>
    <row r="3">
      <c r="A3" s="10" t="inlineStr">
        <is>
          <t>Ingreso si se vende todo</t>
        </is>
      </c>
      <c r="B3" s="11">
        <f>SUMPRODUCT('Precios y utilidad'!C5:C16,'Precios y utilidad'!F5:F16)</f>
        <v/>
      </c>
    </row>
    <row r="4">
      <c r="A4" s="10" t="inlineStr">
        <is>
          <t>Utilidad bruta estimada</t>
        </is>
      </c>
      <c r="B4" s="11">
        <f>B3-B2</f>
        <v/>
      </c>
    </row>
    <row r="5">
      <c r="A5" s="10" t="inlineStr">
        <is>
          <t>Margen bruto sobre ventas</t>
        </is>
      </c>
      <c r="B5" s="12">
        <f>IFERROR(B4/B3,0)</f>
        <v/>
      </c>
    </row>
    <row r="6" ht="42" customHeight="1">
      <c r="A6" s="13" t="inlineStr">
        <is>
          <t>Nota</t>
        </is>
      </c>
      <c r="B6" s="14" t="inlineStr">
        <is>
          <t>Utilidad bruta antes de electricidad, transporte, mermas, comisiones y productos no vendidos.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9" t="inlineStr">
        <is>
          <t>CÓMO USAR EL ARCHIVO</t>
        </is>
      </c>
    </row>
    <row r="3" ht="42" customHeight="1">
      <c r="A3" s="10" t="inlineStr">
        <is>
          <t>1. Costos</t>
        </is>
      </c>
      <c r="B3" s="4" t="inlineStr">
        <is>
          <t>Los precios se basan en referencias de la conversación anterior. Algunos son estimaciones y están marcados como tales; verifica el precio real en la tienda.</t>
        </is>
      </c>
    </row>
    <row r="4" ht="42" customHeight="1">
      <c r="A4" s="10" t="inlineStr">
        <is>
          <t>2. Celdas amarillas</t>
        </is>
      </c>
      <c r="B4" s="4" t="inlineStr">
        <is>
          <t>Edita piezas por paquete, costo del paquete y precio sugerido. Son datos de entrada.</t>
        </is>
      </c>
    </row>
    <row r="5" ht="42" customHeight="1">
      <c r="A5" s="10" t="inlineStr">
        <is>
          <t>3. Celdas verdes</t>
        </is>
      </c>
      <c r="B5" s="4" t="inlineStr">
        <is>
          <t>Costo por pieza, utilidad por pieza, margen y utilidad por paquete se calculan con fórmulas.</t>
        </is>
      </c>
    </row>
    <row r="6" ht="42" customHeight="1">
      <c r="A6" s="10" t="inlineStr">
        <is>
          <t>4. Precio justo</t>
        </is>
      </c>
      <c r="B6" s="4" t="inlineStr">
        <is>
          <t>Los precios sugeridos son una propuesta inicial, redondeada a importes sencillos. Compáralos con tiendas cercanas y ajusta por tamaño de envase.</t>
        </is>
      </c>
    </row>
    <row r="7" ht="42" customHeight="1">
      <c r="A7" s="10" t="inlineStr">
        <is>
          <t>5. Utilidad</t>
        </is>
      </c>
      <c r="B7" s="4" t="inlineStr">
        <is>
          <t>La utilidad calculada es bruta. Resta transporte, energía, comisiones, mermas y productos caducados para estimar la ganancia neta.</t>
        </is>
      </c>
    </row>
    <row r="8" ht="42" customHeight="1">
      <c r="A8" s="10" t="inlineStr">
        <is>
          <t>6. Seguridad alimentaria</t>
        </is>
      </c>
      <c r="B8" s="4" t="inlineStr">
        <is>
          <t>Los productos congelados o refrigerados requieren mantener la cadena de frío. Respeta siempre la etiqueta y la fecha de caducidad.</t>
        </is>
      </c>
    </row>
    <row r="9" ht="42" customHeight="1">
      <c r="A9" s="10" t="inlineStr">
        <is>
          <t>7. Recomendación</t>
        </is>
      </c>
      <c r="B9" s="4" t="inlineStr">
        <is>
          <t>Antes de comprar en volumen, verifica que el precio y el número de piezas correspondan exactamente a la presentación local.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2026-10-13T14:42:50Z</dcterms:created>
  <dcterms:modified xmlns:dcterms="http://purl.org/dc/terms/" xmlns:xsi="http://www.w3.org/2001/XMLSchema-instance" xsi:type="dcterms:W3CDTF">2026-10-13T14:42:50Z</dcterms:modified>
</cp:coreProperties>
</file>